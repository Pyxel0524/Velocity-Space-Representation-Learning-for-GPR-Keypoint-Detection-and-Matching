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VIFT\exp_excel\"/>
    </mc:Choice>
  </mc:AlternateContent>
  <xr:revisionPtr revIDLastSave="0" documentId="13_ncr:1_{A7845D90-AC00-4381-AD09-3D7DF0912C37}" xr6:coauthVersionLast="47" xr6:coauthVersionMax="47" xr10:uidLastSave="{00000000-0000-0000-0000-000000000000}"/>
  <bookViews>
    <workbookView xWindow="0" yWindow="0" windowWidth="15080" windowHeight="153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C56" i="1"/>
  <c r="D56" i="1"/>
  <c r="E56" i="1"/>
  <c r="F56" i="1"/>
  <c r="G56" i="1"/>
  <c r="B56" i="1"/>
  <c r="T34" i="1"/>
  <c r="U34" i="1"/>
  <c r="V34" i="1"/>
  <c r="W34" i="1"/>
  <c r="X34" i="1"/>
  <c r="Y34" i="1"/>
  <c r="T35" i="1"/>
  <c r="U35" i="1"/>
  <c r="V35" i="1"/>
  <c r="W35" i="1"/>
  <c r="X35" i="1"/>
  <c r="Y35" i="1"/>
  <c r="T36" i="1"/>
  <c r="U36" i="1"/>
  <c r="V36" i="1"/>
  <c r="W36" i="1"/>
  <c r="X36" i="1"/>
  <c r="Y36" i="1"/>
  <c r="U33" i="1"/>
  <c r="V33" i="1"/>
  <c r="W33" i="1"/>
  <c r="X33" i="1"/>
  <c r="Y33" i="1"/>
  <c r="T33" i="1"/>
  <c r="T25" i="1"/>
  <c r="U25" i="1"/>
  <c r="V25" i="1"/>
  <c r="W25" i="1"/>
  <c r="X25" i="1"/>
  <c r="Y25" i="1"/>
  <c r="T26" i="1"/>
  <c r="U26" i="1"/>
  <c r="V26" i="1"/>
  <c r="W26" i="1"/>
  <c r="X26" i="1"/>
  <c r="Y26" i="1"/>
  <c r="T27" i="1"/>
  <c r="U27" i="1"/>
  <c r="V27" i="1"/>
  <c r="W27" i="1"/>
  <c r="X27" i="1"/>
  <c r="Y27" i="1"/>
  <c r="U24" i="1"/>
  <c r="V24" i="1"/>
  <c r="W24" i="1"/>
  <c r="X24" i="1"/>
  <c r="Y24" i="1"/>
  <c r="T24" i="1"/>
</calcChain>
</file>

<file path=xl/sharedStrings.xml><?xml version="1.0" encoding="utf-8"?>
<sst xmlns="http://schemas.openxmlformats.org/spreadsheetml/2006/main" count="190" uniqueCount="33">
  <si>
    <t>CMU</t>
    <phoneticPr fontId="1" type="noConversion"/>
  </si>
  <si>
    <t>SIFT</t>
    <phoneticPr fontId="1" type="noConversion"/>
  </si>
  <si>
    <t>ORB</t>
    <phoneticPr fontId="1" type="noConversion"/>
  </si>
  <si>
    <t>MigrationNet</t>
    <phoneticPr fontId="1" type="noConversion"/>
  </si>
  <si>
    <t>ParNet</t>
    <phoneticPr fontId="1" type="noConversion"/>
  </si>
  <si>
    <t>Silk</t>
    <phoneticPr fontId="1" type="noConversion"/>
  </si>
  <si>
    <t>VIFT</t>
    <phoneticPr fontId="1" type="noConversion"/>
  </si>
  <si>
    <t>VIFT (w/o ortho）</t>
    <phoneticPr fontId="1" type="noConversion"/>
  </si>
  <si>
    <t>VIFT (w/o sparsity w/o ortho）</t>
    <phoneticPr fontId="1" type="noConversion"/>
  </si>
  <si>
    <t>MIT：56，90. RANSAC = 4</t>
    <phoneticPr fontId="1" type="noConversion"/>
  </si>
  <si>
    <t>MIT：56，18. RANSAC = 4</t>
    <phoneticPr fontId="1" type="noConversion"/>
  </si>
  <si>
    <t>VIFT (w/o sparsity）</t>
    <phoneticPr fontId="1" type="noConversion"/>
  </si>
  <si>
    <t>0.2974？0.2736</t>
  </si>
  <si>
    <t>VIFT (w/o dipersion）</t>
    <phoneticPr fontId="1" type="noConversion"/>
  </si>
  <si>
    <t>（就是Silk + VIFT）</t>
    <phoneticPr fontId="1" type="noConversion"/>
  </si>
  <si>
    <t>（就是Silk + Silk）</t>
    <phoneticPr fontId="1" type="noConversion"/>
  </si>
  <si>
    <t>##############################keypoint == 50#############################</t>
    <phoneticPr fontId="1" type="noConversion"/>
  </si>
  <si>
    <t>MIT：56，18. RANSAC = 4 （校正后）RRE&lt;5, RTE&lt;3</t>
    <phoneticPr fontId="1" type="noConversion"/>
  </si>
  <si>
    <t xml:space="preserve">average Inlier ratio </t>
    <phoneticPr fontId="1" type="noConversion"/>
  </si>
  <si>
    <t xml:space="preserve">average registration result </t>
    <phoneticPr fontId="1" type="noConversion"/>
  </si>
  <si>
    <t>0.5663（ViT）</t>
    <phoneticPr fontId="1" type="noConversion"/>
  </si>
  <si>
    <t>MIT：56，18. RANSAC = 4 （校正后）RRE&lt;10, RTE&lt;3, regist_thre = 3</t>
    <phoneticPr fontId="1" type="noConversion"/>
  </si>
  <si>
    <t>MIT：56，90. RANSAC = 4 （校正后）RRE&lt;10, RTE&lt;3, regist_thre = 3</t>
    <phoneticPr fontId="1" type="noConversion"/>
  </si>
  <si>
    <t>CMU RRE&lt;1.0, RTE&lt;3, regist_thre = 3</t>
    <phoneticPr fontId="1" type="noConversion"/>
  </si>
  <si>
    <t>NUDT RRE&lt;1.0, RTE&lt;3, regist_thre = 3</t>
    <phoneticPr fontId="1" type="noConversion"/>
  </si>
  <si>
    <t>MIT：56，90. RANSAC = 4 （校正后）RRE&lt;5, RTE&lt;3</t>
  </si>
  <si>
    <t>MIT：76，38. RANSAC = 4 （校正后）RRE&lt;5, RTE&lt;3</t>
    <phoneticPr fontId="1" type="noConversion"/>
  </si>
  <si>
    <t>VIFT++</t>
    <phoneticPr fontId="1" type="noConversion"/>
  </si>
  <si>
    <t>NUDT，RRE&lt;10, RTE&lt;3</t>
    <phoneticPr fontId="1" type="noConversion"/>
  </si>
  <si>
    <t>MIT：76，38. RANSAC = 4 （校正后）(inlier ratio) Key_num = 50</t>
    <phoneticPr fontId="1" type="noConversion"/>
  </si>
  <si>
    <t>(regist success)</t>
    <phoneticPr fontId="1" type="noConversion"/>
  </si>
  <si>
    <t>MIT平均</t>
    <phoneticPr fontId="1" type="noConversion"/>
  </si>
  <si>
    <t>MIT：76，38. RANSAC = 4 （校正后）(regist result) RRE&lt;10,  RTE&lt;3, regist_thre =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</si>
</sst>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right"/>
    </xf>
    <xf numFmtId="0" fontId="0" fillId="0" borderId="6" xfId="0" applyBorder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Y96"/>
  <sheetViews>
    <sheetView tabSelected="1" topLeftCell="A5" zoomScale="64" workbookViewId="0">
      <selection activeCell="E48" sqref="E48"/>
    </sheetView>
  </sheetViews>
  <sheetFormatPr defaultRowHeight="14" x14ac:dyDescent="0.3"/>
  <cols>
    <col min="1" max="1" width="25.4140625" customWidth="1"/>
    <col min="2" max="2" width="20.83203125" customWidth="1"/>
    <col min="3" max="3" width="15.58203125" customWidth="1"/>
    <col min="4" max="4" width="16.4140625" customWidth="1"/>
    <col min="5" max="5" width="17.58203125" customWidth="1"/>
    <col min="6" max="6" width="18.1640625" customWidth="1"/>
    <col min="7" max="7" width="18.9140625" customWidth="1"/>
    <col min="8" max="8" width="13.4140625" customWidth="1"/>
    <col min="9" max="9" width="14.5" customWidth="1"/>
    <col min="11" max="11" width="22.4140625" customWidth="1"/>
    <col min="12" max="12" width="24.08203125" customWidth="1"/>
    <col min="13" max="13" width="25.33203125" customWidth="1"/>
    <col min="14" max="14" width="25.25" customWidth="1"/>
    <col min="15" max="15" width="24.08203125" customWidth="1"/>
    <col min="16" max="16" width="20.33203125" customWidth="1"/>
  </cols>
  <sheetData>
    <row r="8" spans="1:16" x14ac:dyDescent="0.3">
      <c r="A8" s="12" t="s">
        <v>30</v>
      </c>
      <c r="B8" s="13"/>
      <c r="C8" s="13"/>
      <c r="D8" s="13"/>
      <c r="E8" s="13"/>
      <c r="F8" s="13"/>
      <c r="G8" s="13"/>
    </row>
    <row r="9" spans="1:16" x14ac:dyDescent="0.3">
      <c r="A9" s="11"/>
      <c r="B9" s="11"/>
      <c r="C9" s="11"/>
      <c r="D9" s="11"/>
      <c r="E9" s="11"/>
      <c r="F9" s="11"/>
      <c r="G9" s="11"/>
    </row>
    <row r="10" spans="1:16" x14ac:dyDescent="0.3">
      <c r="A10" s="8" t="s">
        <v>10</v>
      </c>
      <c r="B10" s="8"/>
      <c r="C10" s="3"/>
      <c r="D10" s="3"/>
      <c r="E10" s="3"/>
      <c r="F10" s="3"/>
      <c r="G10" s="3"/>
      <c r="I10" s="8" t="s">
        <v>9</v>
      </c>
      <c r="J10" s="8"/>
      <c r="K10" s="8"/>
      <c r="L10" s="8"/>
      <c r="M10" s="3"/>
      <c r="N10" s="3"/>
      <c r="O10" s="3"/>
      <c r="P10" s="3"/>
    </row>
    <row r="11" spans="1:16" x14ac:dyDescent="0.3">
      <c r="A11" s="3"/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I11" s="3"/>
      <c r="J11" s="3" t="s">
        <v>1</v>
      </c>
      <c r="K11" s="3" t="s">
        <v>2</v>
      </c>
      <c r="L11" s="3" t="s">
        <v>3</v>
      </c>
      <c r="M11" s="3" t="s">
        <v>4</v>
      </c>
      <c r="N11" s="3" t="s">
        <v>5</v>
      </c>
      <c r="O11" s="3" t="s">
        <v>6</v>
      </c>
      <c r="P11" s="3"/>
    </row>
    <row r="12" spans="1:16" x14ac:dyDescent="0.3">
      <c r="A12" s="3" t="s">
        <v>1</v>
      </c>
      <c r="B12" s="3">
        <v>0.121</v>
      </c>
      <c r="C12" s="3">
        <v>9.2999999999999999E-2</v>
      </c>
      <c r="D12" s="3">
        <v>0.29680000000000001</v>
      </c>
      <c r="E12" s="3">
        <v>0.23430000000000001</v>
      </c>
      <c r="F12" s="3">
        <v>0.26479999999999998</v>
      </c>
      <c r="G12" s="4">
        <v>0.37890000000000001</v>
      </c>
      <c r="I12" s="3" t="s">
        <v>1</v>
      </c>
      <c r="J12" s="3">
        <v>29.8</v>
      </c>
      <c r="K12" s="3">
        <v>22.32</v>
      </c>
      <c r="L12" s="3">
        <v>0.29680000000000001</v>
      </c>
      <c r="M12" s="3">
        <v>0.23430000000000001</v>
      </c>
      <c r="N12" s="3">
        <v>0.26479999999999998</v>
      </c>
      <c r="O12" s="4">
        <v>0.52149999999999996</v>
      </c>
      <c r="P12" s="3"/>
    </row>
    <row r="13" spans="1:16" x14ac:dyDescent="0.3">
      <c r="A13" s="3" t="s">
        <v>2</v>
      </c>
      <c r="B13" s="3">
        <v>0.18179999999999999</v>
      </c>
      <c r="C13" s="3">
        <v>0.10299999999999999</v>
      </c>
      <c r="D13" s="3">
        <v>0.39839999999999998</v>
      </c>
      <c r="E13" s="3">
        <v>0.33200000000000002</v>
      </c>
      <c r="F13" s="3">
        <v>0.2742</v>
      </c>
      <c r="G13" s="4">
        <v>0.34760000000000002</v>
      </c>
      <c r="I13" s="3" t="s">
        <v>2</v>
      </c>
      <c r="J13" s="3">
        <v>0.21160000000000001</v>
      </c>
      <c r="K13" s="3">
        <v>22.35</v>
      </c>
      <c r="L13" s="3">
        <v>0.39839999999999998</v>
      </c>
      <c r="M13" s="3">
        <v>0.33200000000000002</v>
      </c>
      <c r="N13" s="3">
        <v>0.2742</v>
      </c>
      <c r="O13" s="4">
        <v>0.54500000000000004</v>
      </c>
      <c r="P13" s="3"/>
    </row>
    <row r="14" spans="1:16" x14ac:dyDescent="0.3">
      <c r="A14" s="3" t="s">
        <v>5</v>
      </c>
      <c r="B14" s="3">
        <v>0.2203</v>
      </c>
      <c r="C14" s="3">
        <v>7.2999999999999995E-2</v>
      </c>
      <c r="D14" s="3">
        <v>0.43120000000000003</v>
      </c>
      <c r="E14" s="3">
        <v>0.33750000000000002</v>
      </c>
      <c r="F14" s="3">
        <v>0.35170000000000001</v>
      </c>
      <c r="G14" s="4">
        <v>0.42570000000000002</v>
      </c>
      <c r="I14" s="3" t="s">
        <v>5</v>
      </c>
      <c r="J14" s="3">
        <v>0.2203</v>
      </c>
      <c r="K14" s="3">
        <v>19.21</v>
      </c>
      <c r="L14" s="3">
        <v>0.43120000000000003</v>
      </c>
      <c r="M14" s="3">
        <v>0.33750000000000002</v>
      </c>
      <c r="N14" s="3">
        <v>0.35170000000000001</v>
      </c>
      <c r="O14" s="4">
        <v>0.68620000000000003</v>
      </c>
      <c r="P14" s="3"/>
    </row>
    <row r="15" spans="1:16" x14ac:dyDescent="0.3">
      <c r="A15" s="3" t="s">
        <v>6</v>
      </c>
      <c r="B15" s="4">
        <v>23.04</v>
      </c>
      <c r="C15" s="4">
        <v>18.350000000000001</v>
      </c>
      <c r="D15" s="4">
        <v>0.72709999999999997</v>
      </c>
      <c r="E15" s="4">
        <v>0.66400000000000003</v>
      </c>
      <c r="F15" s="4">
        <v>0.69059999999999999</v>
      </c>
      <c r="G15" s="4">
        <v>0.77339999999999998</v>
      </c>
      <c r="I15" s="3" t="s">
        <v>6</v>
      </c>
      <c r="J15" s="4">
        <v>34.5</v>
      </c>
      <c r="K15" s="4">
        <v>25.49</v>
      </c>
      <c r="L15" s="4">
        <v>0.70009999999999994</v>
      </c>
      <c r="M15" s="4">
        <v>0.63519999999999999</v>
      </c>
      <c r="N15" s="4">
        <v>0.67449999999999999</v>
      </c>
      <c r="O15" s="4">
        <v>0.7843</v>
      </c>
      <c r="P15" s="3"/>
    </row>
    <row r="16" spans="1:16" x14ac:dyDescent="0.3">
      <c r="A16" s="3" t="s">
        <v>7</v>
      </c>
      <c r="B16" s="3"/>
      <c r="C16" s="3"/>
      <c r="D16" s="3"/>
      <c r="E16" s="3"/>
      <c r="F16" s="3"/>
      <c r="G16" s="4">
        <v>0.65629999999999999</v>
      </c>
      <c r="I16" s="3" t="s">
        <v>7</v>
      </c>
      <c r="J16" s="3"/>
      <c r="K16" s="3"/>
      <c r="L16" s="3"/>
      <c r="M16" s="3"/>
      <c r="N16" s="3"/>
      <c r="O16" s="3">
        <v>0.72540000000000004</v>
      </c>
      <c r="P16" s="3"/>
    </row>
    <row r="17" spans="1:25" x14ac:dyDescent="0.3">
      <c r="A17" s="3" t="s">
        <v>13</v>
      </c>
      <c r="B17" s="3"/>
      <c r="C17" s="3"/>
      <c r="D17" s="3"/>
      <c r="E17" s="3"/>
      <c r="F17" s="3"/>
      <c r="G17" s="4">
        <v>0.71089999999999998</v>
      </c>
      <c r="I17" s="17" t="s">
        <v>11</v>
      </c>
      <c r="J17" s="17"/>
      <c r="K17" s="17"/>
      <c r="L17" s="3"/>
      <c r="M17" s="3"/>
      <c r="N17" s="3"/>
      <c r="O17" s="3">
        <v>0.67449999999999999</v>
      </c>
      <c r="P17" s="3" t="s">
        <v>14</v>
      </c>
    </row>
    <row r="18" spans="1:25" x14ac:dyDescent="0.3">
      <c r="A18" s="3" t="s">
        <v>8</v>
      </c>
      <c r="B18" s="3"/>
      <c r="C18" s="3"/>
      <c r="D18" s="3"/>
      <c r="E18" s="3"/>
      <c r="F18" s="3"/>
      <c r="G18" s="4">
        <v>0.42570000000000002</v>
      </c>
      <c r="I18" s="17" t="s">
        <v>8</v>
      </c>
      <c r="J18" s="17"/>
      <c r="K18" s="17"/>
      <c r="L18" s="3"/>
      <c r="M18" s="3"/>
      <c r="N18" s="3"/>
      <c r="O18" s="4">
        <v>0.49009999999999998</v>
      </c>
      <c r="P18" s="3" t="s">
        <v>15</v>
      </c>
    </row>
    <row r="19" spans="1:25" x14ac:dyDescent="0.3">
      <c r="G19" s="2"/>
      <c r="I19" s="1"/>
      <c r="J19" s="1"/>
      <c r="K19" s="1"/>
      <c r="O19" s="2"/>
    </row>
    <row r="20" spans="1:25" x14ac:dyDescent="0.3">
      <c r="A20" t="s">
        <v>16</v>
      </c>
    </row>
    <row r="21" spans="1:25" x14ac:dyDescent="0.3">
      <c r="A21" s="11"/>
      <c r="B21" s="11"/>
      <c r="C21" s="11"/>
      <c r="D21" s="11"/>
      <c r="E21" s="11"/>
      <c r="F21" s="11"/>
      <c r="G21" s="11"/>
    </row>
    <row r="22" spans="1:25" ht="22.5" x14ac:dyDescent="0.45">
      <c r="A22" s="8" t="s">
        <v>32</v>
      </c>
      <c r="B22" s="8"/>
      <c r="C22" s="8"/>
      <c r="D22" s="8"/>
      <c r="E22" s="8"/>
      <c r="F22" s="8"/>
      <c r="G22" s="8"/>
      <c r="J22" s="9" t="s">
        <v>29</v>
      </c>
      <c r="K22" s="10"/>
      <c r="L22" s="10"/>
      <c r="M22" s="10"/>
      <c r="N22" s="10"/>
      <c r="O22" s="10"/>
      <c r="P22" s="10"/>
      <c r="S22" s="7" t="s">
        <v>18</v>
      </c>
      <c r="T22" s="7"/>
      <c r="U22" s="7"/>
      <c r="V22" s="7"/>
      <c r="W22" s="7"/>
      <c r="X22" s="7"/>
      <c r="Y22" s="7"/>
    </row>
    <row r="23" spans="1:25" x14ac:dyDescent="0.3">
      <c r="A23" s="3"/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J23" s="3"/>
      <c r="K23" s="3" t="s">
        <v>1</v>
      </c>
      <c r="L23" s="3" t="s">
        <v>2</v>
      </c>
      <c r="M23" s="3" t="s">
        <v>3</v>
      </c>
      <c r="N23" s="3" t="s">
        <v>4</v>
      </c>
      <c r="O23" s="3" t="s">
        <v>5</v>
      </c>
      <c r="P23" s="3" t="s">
        <v>6</v>
      </c>
      <c r="T23" t="s">
        <v>1</v>
      </c>
      <c r="U23" t="s">
        <v>2</v>
      </c>
      <c r="V23" t="s">
        <v>3</v>
      </c>
      <c r="W23" t="s">
        <v>4</v>
      </c>
      <c r="X23" t="s">
        <v>5</v>
      </c>
      <c r="Y23" t="s">
        <v>6</v>
      </c>
    </row>
    <row r="24" spans="1:25" x14ac:dyDescent="0.3">
      <c r="A24" s="3" t="s">
        <v>1</v>
      </c>
      <c r="B24" s="3">
        <v>0.58779999999999999</v>
      </c>
      <c r="C24" s="3">
        <v>0.52580000000000005</v>
      </c>
      <c r="D24" s="3">
        <v>0.54349999999999998</v>
      </c>
      <c r="E24" s="3">
        <v>0.66610000000000003</v>
      </c>
      <c r="F24" s="3">
        <v>0.61150000000000004</v>
      </c>
      <c r="G24" s="3">
        <v>0.75770000000000004</v>
      </c>
      <c r="J24" s="3" t="s">
        <v>1</v>
      </c>
      <c r="K24" s="3">
        <v>0.63419999999999999</v>
      </c>
      <c r="L24" s="3">
        <v>0.62729999999999997</v>
      </c>
      <c r="M24" s="3">
        <v>0.93769999999999998</v>
      </c>
      <c r="N24" s="3">
        <v>0.92810000000000004</v>
      </c>
      <c r="O24" s="3">
        <v>0.8004</v>
      </c>
      <c r="P24" s="3">
        <v>0.92190000000000005</v>
      </c>
      <c r="S24" t="s">
        <v>1</v>
      </c>
      <c r="T24">
        <f>(K24+K33+K42)/3</f>
        <v>0.56913333333333327</v>
      </c>
      <c r="U24">
        <f t="shared" ref="U24:Y24" si="0">(L24+L33+L42)/3</f>
        <v>0.53623333333333334</v>
      </c>
      <c r="V24">
        <f t="shared" si="0"/>
        <v>0.85183333333333344</v>
      </c>
      <c r="W24">
        <f t="shared" si="0"/>
        <v>0.81163333333333343</v>
      </c>
      <c r="X24">
        <f t="shared" si="0"/>
        <v>0.68</v>
      </c>
      <c r="Y24">
        <f t="shared" si="0"/>
        <v>0.72343333333333337</v>
      </c>
    </row>
    <row r="25" spans="1:25" x14ac:dyDescent="0.3">
      <c r="A25" s="3" t="s">
        <v>2</v>
      </c>
      <c r="B25" s="3">
        <v>0.54649999999999999</v>
      </c>
      <c r="C25" s="3">
        <v>0.4652</v>
      </c>
      <c r="D25" s="3">
        <v>0.64990000000000003</v>
      </c>
      <c r="E25" s="3">
        <v>0.49919999999999998</v>
      </c>
      <c r="F25" s="3">
        <v>0.82120000000000004</v>
      </c>
      <c r="G25" s="3">
        <v>0.86260000000000003</v>
      </c>
      <c r="J25" s="3" t="s">
        <v>2</v>
      </c>
      <c r="K25" s="3">
        <v>0.65110000000000001</v>
      </c>
      <c r="L25" s="3">
        <v>0.6492</v>
      </c>
      <c r="M25" s="3">
        <v>0.95809999999999995</v>
      </c>
      <c r="N25" s="3">
        <v>0.87619999999999998</v>
      </c>
      <c r="O25" s="3">
        <v>0.86739999999999995</v>
      </c>
      <c r="P25" s="3">
        <v>0.94079999999999997</v>
      </c>
      <c r="S25" t="s">
        <v>2</v>
      </c>
      <c r="T25">
        <f t="shared" ref="T25:T27" si="1">(K25+K34+K43)/3</f>
        <v>0.60156666666666669</v>
      </c>
      <c r="U25">
        <f t="shared" ref="U25:U27" si="2">(L25+L34+L43)/3</f>
        <v>0.54486666666666672</v>
      </c>
      <c r="V25">
        <f t="shared" ref="V25:V27" si="3">(M25+M34+M43)/3</f>
        <v>0.88559999999999983</v>
      </c>
      <c r="W25">
        <f t="shared" ref="W25:W27" si="4">(N25+N34+N43)/3</f>
        <v>0.82536666666666658</v>
      </c>
      <c r="X25">
        <f t="shared" ref="X25:X27" si="5">(O25+O34+O43)/3</f>
        <v>0.7389</v>
      </c>
      <c r="Y25">
        <f t="shared" ref="Y25:Y27" si="6">(P25+P34+P43)/3</f>
        <v>0.77226666666666655</v>
      </c>
    </row>
    <row r="26" spans="1:25" x14ac:dyDescent="0.3">
      <c r="A26" s="3" t="s">
        <v>5</v>
      </c>
      <c r="B26" s="3">
        <v>0.23780000000000001</v>
      </c>
      <c r="C26" s="3">
        <v>0.28360000000000002</v>
      </c>
      <c r="D26" s="3">
        <v>0.68979999999999997</v>
      </c>
      <c r="E26" s="3">
        <v>0.65580000000000005</v>
      </c>
      <c r="F26" s="3">
        <v>0.8669</v>
      </c>
      <c r="G26" s="3">
        <v>0.87590000000000001</v>
      </c>
      <c r="J26" s="3" t="s">
        <v>5</v>
      </c>
      <c r="K26" s="3">
        <v>0.51039999999999996</v>
      </c>
      <c r="L26" s="3">
        <v>0.55010000000000003</v>
      </c>
      <c r="M26" s="3">
        <v>0.95340000000000003</v>
      </c>
      <c r="N26" s="3">
        <v>0.92579999999999996</v>
      </c>
      <c r="O26" s="3">
        <v>0.87760000000000005</v>
      </c>
      <c r="P26" s="3">
        <v>0.93910000000000005</v>
      </c>
      <c r="S26" t="s">
        <v>5</v>
      </c>
      <c r="T26">
        <f t="shared" si="1"/>
        <v>0.46926666666666667</v>
      </c>
      <c r="U26">
        <f t="shared" si="2"/>
        <v>0.46376666666666666</v>
      </c>
      <c r="V26">
        <f t="shared" si="3"/>
        <v>0.90183333333333326</v>
      </c>
      <c r="W26">
        <f t="shared" si="4"/>
        <v>0.84819999999999995</v>
      </c>
      <c r="X26">
        <f t="shared" si="5"/>
        <v>0.76606666666666667</v>
      </c>
      <c r="Y26">
        <f t="shared" si="6"/>
        <v>0.78626666666666667</v>
      </c>
    </row>
    <row r="27" spans="1:25" x14ac:dyDescent="0.3">
      <c r="A27" s="3" t="s">
        <v>6</v>
      </c>
      <c r="B27" s="3">
        <v>0.34710000000000002</v>
      </c>
      <c r="C27" s="3">
        <v>0.33229999999999998</v>
      </c>
      <c r="D27" s="3">
        <v>0.72230000000000005</v>
      </c>
      <c r="E27" s="3">
        <v>0.75029999999999997</v>
      </c>
      <c r="F27" s="3">
        <v>0.88470000000000004</v>
      </c>
      <c r="G27" s="3">
        <v>0.88180000000000003</v>
      </c>
      <c r="J27" s="3" t="s">
        <v>6</v>
      </c>
      <c r="K27" s="3">
        <v>0.7258</v>
      </c>
      <c r="L27" s="3">
        <v>0.57699999999999996</v>
      </c>
      <c r="M27" s="3">
        <v>0.96</v>
      </c>
      <c r="N27" s="3">
        <v>0.94920000000000004</v>
      </c>
      <c r="O27" s="3">
        <v>0.88539999999999996</v>
      </c>
      <c r="P27" s="3">
        <v>0.95109999999999995</v>
      </c>
      <c r="S27" t="s">
        <v>6</v>
      </c>
      <c r="T27">
        <f t="shared" si="1"/>
        <v>0.5212</v>
      </c>
      <c r="U27">
        <f t="shared" si="2"/>
        <v>0.46930000000000005</v>
      </c>
      <c r="V27">
        <f t="shared" si="3"/>
        <v>0.91063333333333329</v>
      </c>
      <c r="W27">
        <f t="shared" si="4"/>
        <v>0.85906666666666665</v>
      </c>
      <c r="X27">
        <f t="shared" si="5"/>
        <v>0.78003333333333325</v>
      </c>
      <c r="Y27">
        <f t="shared" si="6"/>
        <v>0.80593333333333328</v>
      </c>
    </row>
    <row r="31" spans="1:25" ht="22.5" x14ac:dyDescent="0.45">
      <c r="A31" s="14" t="s">
        <v>21</v>
      </c>
      <c r="B31" s="15"/>
      <c r="C31" s="15"/>
      <c r="D31" s="15"/>
      <c r="E31" s="15"/>
      <c r="F31" s="15"/>
      <c r="G31" s="16"/>
      <c r="J31" s="11" t="s">
        <v>17</v>
      </c>
      <c r="K31" s="11"/>
      <c r="L31" s="11"/>
      <c r="M31" s="11"/>
      <c r="N31" s="11"/>
      <c r="O31" s="11"/>
      <c r="P31" s="11"/>
      <c r="S31" s="7" t="s">
        <v>19</v>
      </c>
      <c r="T31" s="7"/>
      <c r="U31" s="7"/>
      <c r="V31" s="7"/>
      <c r="W31" s="7"/>
      <c r="X31" s="7"/>
      <c r="Y31" s="7"/>
    </row>
    <row r="32" spans="1:25" x14ac:dyDescent="0.3">
      <c r="A32" s="3"/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J32" s="3"/>
      <c r="K32" s="3" t="s">
        <v>1</v>
      </c>
      <c r="L32" s="3" t="s">
        <v>2</v>
      </c>
      <c r="M32" s="3" t="s">
        <v>3</v>
      </c>
      <c r="N32" s="3" t="s">
        <v>4</v>
      </c>
      <c r="O32" s="3" t="s">
        <v>5</v>
      </c>
      <c r="P32" s="3" t="s">
        <v>6</v>
      </c>
      <c r="T32" t="s">
        <v>1</v>
      </c>
      <c r="U32" t="s">
        <v>2</v>
      </c>
      <c r="V32" t="s">
        <v>3</v>
      </c>
      <c r="W32" t="s">
        <v>4</v>
      </c>
      <c r="X32" t="s">
        <v>5</v>
      </c>
      <c r="Y32" t="s">
        <v>6</v>
      </c>
    </row>
    <row r="33" spans="1:25" x14ac:dyDescent="0.3">
      <c r="A33" s="3" t="s">
        <v>1</v>
      </c>
      <c r="B33" s="3">
        <v>0.42180000000000001</v>
      </c>
      <c r="C33" s="3">
        <v>0.28910000000000002</v>
      </c>
      <c r="D33" s="3">
        <v>0.62890000000000001</v>
      </c>
      <c r="E33" s="3">
        <v>0.496</v>
      </c>
      <c r="F33" s="3">
        <v>0.55459999999999998</v>
      </c>
      <c r="G33" s="3">
        <v>0.50390000000000001</v>
      </c>
      <c r="J33" s="3" t="s">
        <v>1</v>
      </c>
      <c r="K33" s="3">
        <v>0.52839999999999998</v>
      </c>
      <c r="L33" s="3">
        <v>0.4879</v>
      </c>
      <c r="M33" s="3">
        <v>0.79320000000000002</v>
      </c>
      <c r="N33" s="3">
        <v>0.73170000000000002</v>
      </c>
      <c r="O33" s="3">
        <v>0.5716</v>
      </c>
      <c r="P33" s="3">
        <v>0.56069999999999998</v>
      </c>
      <c r="S33" t="s">
        <v>1</v>
      </c>
      <c r="T33" t="e">
        <f>(#REF!+#REF!+#REF!)/3</f>
        <v>#REF!</v>
      </c>
      <c r="U33" t="e">
        <f>(#REF!+#REF!+#REF!)/3</f>
        <v>#REF!</v>
      </c>
      <c r="V33" t="e">
        <f>(#REF!+#REF!+#REF!)/3</f>
        <v>#REF!</v>
      </c>
      <c r="W33" t="e">
        <f>(#REF!+#REF!+#REF!)/3</f>
        <v>#REF!</v>
      </c>
      <c r="X33" t="e">
        <f>(#REF!+#REF!+#REF!)/3</f>
        <v>#REF!</v>
      </c>
      <c r="Y33" t="e">
        <f>(#REF!+#REF!+#REF!)/3</f>
        <v>#REF!</v>
      </c>
    </row>
    <row r="34" spans="1:25" x14ac:dyDescent="0.3">
      <c r="A34" s="3" t="s">
        <v>2</v>
      </c>
      <c r="B34" s="3">
        <v>0.44529999999999997</v>
      </c>
      <c r="C34" s="3">
        <v>0.32029999999999997</v>
      </c>
      <c r="D34" s="3">
        <v>0.79679999999999995</v>
      </c>
      <c r="E34" s="3">
        <v>0.61709999999999998</v>
      </c>
      <c r="F34" s="3">
        <v>0.66010000000000002</v>
      </c>
      <c r="G34" s="3">
        <v>0.63280000000000003</v>
      </c>
      <c r="J34" s="3" t="s">
        <v>2</v>
      </c>
      <c r="K34" s="3">
        <v>0.55020000000000002</v>
      </c>
      <c r="L34" s="3">
        <v>0.48699999999999999</v>
      </c>
      <c r="M34" s="3">
        <v>0.85029999999999994</v>
      </c>
      <c r="N34" s="3">
        <v>0.76949999999999996</v>
      </c>
      <c r="O34" s="3">
        <v>0.64280000000000004</v>
      </c>
      <c r="P34" s="3">
        <v>0.65149999999999997</v>
      </c>
      <c r="S34" t="s">
        <v>2</v>
      </c>
      <c r="T34" t="e">
        <f>(#REF!+#REF!+#REF!)/3</f>
        <v>#REF!</v>
      </c>
      <c r="U34" t="e">
        <f>(#REF!+#REF!+#REF!)/3</f>
        <v>#REF!</v>
      </c>
      <c r="V34" t="e">
        <f>(#REF!+#REF!+#REF!)/3</f>
        <v>#REF!</v>
      </c>
      <c r="W34" t="e">
        <f>(#REF!+#REF!+#REF!)/3</f>
        <v>#REF!</v>
      </c>
      <c r="X34" t="e">
        <f>(#REF!+#REF!+#REF!)/3</f>
        <v>#REF!</v>
      </c>
      <c r="Y34" t="e">
        <f>(#REF!+#REF!+#REF!)/3</f>
        <v>#REF!</v>
      </c>
    </row>
    <row r="35" spans="1:25" x14ac:dyDescent="0.3">
      <c r="A35" s="3" t="s">
        <v>5</v>
      </c>
      <c r="B35" s="3">
        <v>0.22650000000000001</v>
      </c>
      <c r="C35" s="3">
        <v>0.2031</v>
      </c>
      <c r="D35" s="3">
        <v>0.81589999999999996</v>
      </c>
      <c r="E35" s="3">
        <v>0.65620000000000001</v>
      </c>
      <c r="F35" s="3">
        <v>0.78120000000000001</v>
      </c>
      <c r="G35" s="3">
        <v>0.78129999999999999</v>
      </c>
      <c r="J35" s="3" t="s">
        <v>5</v>
      </c>
      <c r="K35" s="3">
        <v>0.39729999999999999</v>
      </c>
      <c r="L35" s="3">
        <v>0.42330000000000001</v>
      </c>
      <c r="M35" s="3">
        <v>0.86280000000000001</v>
      </c>
      <c r="N35" s="3">
        <v>0.79920000000000002</v>
      </c>
      <c r="O35" s="3">
        <v>0.70389999999999997</v>
      </c>
      <c r="P35" s="3">
        <v>0.70550000000000002</v>
      </c>
      <c r="S35" t="s">
        <v>5</v>
      </c>
      <c r="T35" t="e">
        <f>(#REF!+#REF!+#REF!)/3</f>
        <v>#REF!</v>
      </c>
      <c r="U35" t="e">
        <f>(#REF!+#REF!+#REF!)/3</f>
        <v>#REF!</v>
      </c>
      <c r="V35" t="e">
        <f>(#REF!+#REF!+#REF!)/3</f>
        <v>#REF!</v>
      </c>
      <c r="W35" t="e">
        <f>(#REF!+#REF!+#REF!)/3</f>
        <v>#REF!</v>
      </c>
      <c r="X35" t="e">
        <f>(#REF!+#REF!+#REF!)/3</f>
        <v>#REF!</v>
      </c>
      <c r="Y35" t="e">
        <f>(#REF!+#REF!+#REF!)/3</f>
        <v>#REF!</v>
      </c>
    </row>
    <row r="36" spans="1:25" x14ac:dyDescent="0.3">
      <c r="A36" s="3" t="s">
        <v>6</v>
      </c>
      <c r="B36" s="3">
        <v>0.1953</v>
      </c>
      <c r="C36" s="3">
        <v>0.1953</v>
      </c>
      <c r="D36" s="3">
        <v>0.82420000000000004</v>
      </c>
      <c r="E36" s="3">
        <v>0.46089999999999998</v>
      </c>
      <c r="F36" s="3">
        <v>0.70309999999999995</v>
      </c>
      <c r="G36" s="3">
        <v>0.82809999999999995</v>
      </c>
      <c r="J36" s="3" t="s">
        <v>6</v>
      </c>
      <c r="K36" s="3">
        <v>0.3468</v>
      </c>
      <c r="L36" s="3">
        <v>0.40870000000000001</v>
      </c>
      <c r="M36" s="3">
        <v>0.87609999999999999</v>
      </c>
      <c r="N36" s="3">
        <v>0.78220000000000001</v>
      </c>
      <c r="O36" s="3">
        <v>0.71109999999999995</v>
      </c>
      <c r="P36" s="3">
        <v>0.7218</v>
      </c>
      <c r="S36" t="s">
        <v>6</v>
      </c>
      <c r="T36" t="e">
        <f>(#REF!+#REF!+#REF!)/3</f>
        <v>#REF!</v>
      </c>
      <c r="U36" t="e">
        <f>(#REF!+#REF!+#REF!)/3</f>
        <v>#REF!</v>
      </c>
      <c r="V36" t="e">
        <f>(#REF!+#REF!+#REF!)/3</f>
        <v>#REF!</v>
      </c>
      <c r="W36" t="e">
        <f>(#REF!+#REF!+#REF!)/3</f>
        <v>#REF!</v>
      </c>
      <c r="X36" t="e">
        <f>(#REF!+#REF!+#REF!)/3</f>
        <v>#REF!</v>
      </c>
      <c r="Y36" t="e">
        <f>(#REF!+#REF!+#REF!)/3</f>
        <v>#REF!</v>
      </c>
    </row>
    <row r="40" spans="1:25" x14ac:dyDescent="0.3">
      <c r="A40" s="14" t="s">
        <v>22</v>
      </c>
      <c r="B40" s="15"/>
      <c r="C40" s="15"/>
      <c r="D40" s="15"/>
      <c r="E40" s="15"/>
      <c r="F40" s="15"/>
      <c r="G40" s="16"/>
      <c r="J40" s="11" t="s">
        <v>25</v>
      </c>
      <c r="K40" s="11"/>
      <c r="L40" s="11"/>
      <c r="M40" s="11"/>
      <c r="N40" s="11"/>
      <c r="O40" s="11"/>
    </row>
    <row r="41" spans="1:25" x14ac:dyDescent="0.3">
      <c r="A41" s="3"/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J41" s="3"/>
      <c r="K41" s="3" t="s">
        <v>1</v>
      </c>
      <c r="L41" s="3" t="s">
        <v>2</v>
      </c>
      <c r="M41" s="3" t="s">
        <v>3</v>
      </c>
      <c r="N41" s="3" t="s">
        <v>4</v>
      </c>
      <c r="O41" s="3" t="s">
        <v>5</v>
      </c>
      <c r="P41" s="3" t="s">
        <v>6</v>
      </c>
      <c r="S41" s="11" t="s">
        <v>26</v>
      </c>
      <c r="T41" s="11"/>
      <c r="U41" s="11"/>
      <c r="V41" s="11"/>
      <c r="W41" s="11"/>
      <c r="X41" s="11"/>
      <c r="Y41" s="11"/>
    </row>
    <row r="42" spans="1:25" x14ac:dyDescent="0.3">
      <c r="A42" s="3" t="s">
        <v>1</v>
      </c>
      <c r="B42" s="3">
        <v>0.40010000000000001</v>
      </c>
      <c r="C42" s="3">
        <v>0.26269999999999999</v>
      </c>
      <c r="D42" s="3">
        <v>0.43130000000000002</v>
      </c>
      <c r="E42" s="3">
        <v>0.34910000000000002</v>
      </c>
      <c r="F42" s="3">
        <v>0.69799999999999995</v>
      </c>
      <c r="G42" s="3">
        <v>0.70979999999999999</v>
      </c>
      <c r="J42" s="3" t="s">
        <v>1</v>
      </c>
      <c r="K42" s="3">
        <v>0.54479999999999995</v>
      </c>
      <c r="L42" s="3">
        <v>0.49349999999999999</v>
      </c>
      <c r="M42" s="3">
        <v>0.8246</v>
      </c>
      <c r="N42" s="3">
        <v>0.77510000000000001</v>
      </c>
      <c r="O42" s="3">
        <v>0.66800000000000004</v>
      </c>
      <c r="P42" s="3">
        <v>0.68769999999999998</v>
      </c>
      <c r="S42" s="3"/>
      <c r="T42" s="3" t="s">
        <v>1</v>
      </c>
      <c r="U42" s="3" t="s">
        <v>2</v>
      </c>
      <c r="V42" s="3" t="s">
        <v>3</v>
      </c>
      <c r="W42" s="3" t="s">
        <v>4</v>
      </c>
      <c r="X42" s="3" t="s">
        <v>5</v>
      </c>
      <c r="Y42" s="3" t="s">
        <v>6</v>
      </c>
    </row>
    <row r="43" spans="1:25" x14ac:dyDescent="0.3">
      <c r="A43" s="3" t="s">
        <v>2</v>
      </c>
      <c r="B43" s="3">
        <v>0.44309999999999999</v>
      </c>
      <c r="C43" s="3">
        <v>0.3372</v>
      </c>
      <c r="D43" s="3">
        <v>0.498</v>
      </c>
      <c r="E43" s="3">
        <v>0.48230000000000001</v>
      </c>
      <c r="F43" s="3">
        <v>0.80389999999999995</v>
      </c>
      <c r="G43" s="3">
        <v>0.82350000000000001</v>
      </c>
      <c r="J43" s="3" t="s">
        <v>2</v>
      </c>
      <c r="K43" s="3">
        <v>0.60340000000000005</v>
      </c>
      <c r="L43" s="3">
        <v>0.49840000000000001</v>
      </c>
      <c r="M43" s="3">
        <v>0.84840000000000004</v>
      </c>
      <c r="N43" s="3">
        <v>0.83040000000000003</v>
      </c>
      <c r="O43" s="3">
        <v>0.70650000000000002</v>
      </c>
      <c r="P43" s="3">
        <v>0.72450000000000003</v>
      </c>
      <c r="S43" s="3" t="s">
        <v>1</v>
      </c>
      <c r="T43" s="3"/>
      <c r="U43" s="3"/>
      <c r="V43" s="3"/>
      <c r="W43" s="3"/>
      <c r="X43" s="3"/>
      <c r="Y43" s="3"/>
    </row>
    <row r="44" spans="1:25" x14ac:dyDescent="0.3">
      <c r="A44" s="3" t="s">
        <v>5</v>
      </c>
      <c r="B44" s="3">
        <v>0.2392</v>
      </c>
      <c r="C44" s="3">
        <v>0.23139999999999999</v>
      </c>
      <c r="D44" s="3">
        <v>0.57640000000000002</v>
      </c>
      <c r="E44" s="3">
        <v>0.45090000000000002</v>
      </c>
      <c r="F44" s="3">
        <v>0.82350000000000001</v>
      </c>
      <c r="G44" s="3">
        <v>0.84709999999999996</v>
      </c>
      <c r="J44" s="3" t="s">
        <v>5</v>
      </c>
      <c r="K44" s="3">
        <v>0.50009999999999999</v>
      </c>
      <c r="L44" s="3">
        <v>0.41789999999999999</v>
      </c>
      <c r="M44" s="3">
        <v>0.88929999999999998</v>
      </c>
      <c r="N44" s="3">
        <v>0.8196</v>
      </c>
      <c r="O44" s="3">
        <v>0.7167</v>
      </c>
      <c r="P44" s="3">
        <v>0.71419999999999995</v>
      </c>
      <c r="S44" s="3" t="s">
        <v>2</v>
      </c>
      <c r="T44" s="3"/>
      <c r="U44" s="3"/>
      <c r="V44" s="3"/>
      <c r="W44" s="3"/>
      <c r="X44" s="3"/>
      <c r="Y44" s="3"/>
    </row>
    <row r="45" spans="1:25" x14ac:dyDescent="0.3">
      <c r="A45" s="3" t="s">
        <v>6</v>
      </c>
      <c r="B45" s="3">
        <v>0.3019</v>
      </c>
      <c r="C45" s="3">
        <v>0.23130000000000001</v>
      </c>
      <c r="D45" s="3">
        <v>0.59209999999999996</v>
      </c>
      <c r="E45" s="3">
        <v>0.51370000000000005</v>
      </c>
      <c r="F45" s="3">
        <v>0.90980000000000005</v>
      </c>
      <c r="G45" s="3">
        <v>0.81169999999999998</v>
      </c>
      <c r="J45" s="3" t="s">
        <v>6</v>
      </c>
      <c r="K45" s="3">
        <v>0.49099999999999999</v>
      </c>
      <c r="L45" s="3">
        <v>0.42220000000000002</v>
      </c>
      <c r="M45" s="3">
        <v>0.89580000000000004</v>
      </c>
      <c r="N45" s="3">
        <v>0.8458</v>
      </c>
      <c r="O45" s="3">
        <v>0.74360000000000004</v>
      </c>
      <c r="P45" s="3">
        <v>0.74490000000000001</v>
      </c>
      <c r="S45" s="3" t="s">
        <v>5</v>
      </c>
      <c r="T45" s="3"/>
      <c r="U45" s="3"/>
      <c r="V45" s="3"/>
      <c r="W45" s="3"/>
      <c r="X45" s="3"/>
      <c r="Y45" s="3"/>
    </row>
    <row r="46" spans="1:25" x14ac:dyDescent="0.3">
      <c r="S46" s="3" t="s">
        <v>6</v>
      </c>
      <c r="T46" s="3"/>
      <c r="U46" s="3"/>
      <c r="V46" s="3"/>
      <c r="W46" s="3"/>
      <c r="X46" s="3"/>
      <c r="Y46" s="3">
        <v>0.92759999999999998</v>
      </c>
    </row>
    <row r="47" spans="1:25" x14ac:dyDescent="0.3">
      <c r="A47" s="8"/>
      <c r="B47" s="8"/>
      <c r="C47" s="3"/>
      <c r="D47" s="3"/>
      <c r="E47" s="3"/>
      <c r="F47" s="3"/>
      <c r="G47" s="3"/>
      <c r="J47" s="11" t="s">
        <v>0</v>
      </c>
      <c r="K47" s="11"/>
      <c r="L47" s="11"/>
      <c r="M47" s="11"/>
      <c r="N47" s="11"/>
      <c r="O47" s="11"/>
    </row>
    <row r="48" spans="1:25" x14ac:dyDescent="0.3">
      <c r="A48" s="3"/>
      <c r="B48" s="3"/>
      <c r="C48" s="3"/>
      <c r="D48" s="3"/>
      <c r="E48" s="3"/>
      <c r="F48" s="3"/>
      <c r="G48" s="3"/>
      <c r="J48" s="3"/>
      <c r="K48" s="3" t="s">
        <v>1</v>
      </c>
      <c r="L48" s="3" t="s">
        <v>2</v>
      </c>
      <c r="M48" s="3" t="s">
        <v>3</v>
      </c>
      <c r="N48" s="3" t="s">
        <v>4</v>
      </c>
      <c r="O48" s="3" t="s">
        <v>5</v>
      </c>
      <c r="P48" s="3" t="s">
        <v>6</v>
      </c>
    </row>
    <row r="49" spans="1:17" x14ac:dyDescent="0.3">
      <c r="A49" s="3"/>
      <c r="B49" s="3"/>
      <c r="C49" s="3"/>
      <c r="D49" s="3"/>
      <c r="E49" s="3"/>
      <c r="F49" s="3"/>
      <c r="G49" s="3"/>
      <c r="J49" s="3" t="s">
        <v>1</v>
      </c>
      <c r="K49" s="3">
        <v>0.19719999999999999</v>
      </c>
      <c r="L49" s="3">
        <v>0.22939999999999999</v>
      </c>
      <c r="M49" s="3">
        <v>3.9E-2</v>
      </c>
      <c r="N49" s="3">
        <v>0.12520000000000001</v>
      </c>
      <c r="O49" s="3">
        <v>7.0999999999999994E-2</v>
      </c>
      <c r="P49" s="3">
        <v>0.16569999999999999</v>
      </c>
    </row>
    <row r="50" spans="1:17" x14ac:dyDescent="0.3">
      <c r="A50" s="3"/>
      <c r="B50" s="3"/>
      <c r="C50" s="3"/>
      <c r="D50" s="3"/>
      <c r="E50" s="3"/>
      <c r="F50" s="3"/>
      <c r="G50" s="3"/>
      <c r="J50" s="3" t="s">
        <v>2</v>
      </c>
      <c r="K50" s="3">
        <v>0.2009</v>
      </c>
      <c r="L50" s="3">
        <v>0.2581</v>
      </c>
      <c r="M50" s="3">
        <v>8.3000000000000004E-2</v>
      </c>
      <c r="N50" s="3">
        <v>0.22120000000000001</v>
      </c>
      <c r="O50" s="3">
        <v>9.0999999999999998E-2</v>
      </c>
      <c r="P50" s="3">
        <v>0.26960000000000001</v>
      </c>
    </row>
    <row r="51" spans="1:17" x14ac:dyDescent="0.3">
      <c r="A51" s="3"/>
      <c r="B51" s="3"/>
      <c r="C51" s="3"/>
      <c r="D51" s="3"/>
      <c r="E51" s="3"/>
      <c r="F51" s="3"/>
      <c r="G51" s="3"/>
      <c r="J51" s="3" t="s">
        <v>5</v>
      </c>
      <c r="K51" s="3">
        <v>0.15740000000000001</v>
      </c>
      <c r="L51" s="3">
        <v>0.33829999999999999</v>
      </c>
      <c r="M51" s="3">
        <v>0.1138</v>
      </c>
      <c r="N51" s="3">
        <v>0.17030000000000001</v>
      </c>
      <c r="O51" s="3">
        <v>5.7000000000000002E-2</v>
      </c>
      <c r="P51" s="3">
        <v>0.1249</v>
      </c>
    </row>
    <row r="52" spans="1:17" x14ac:dyDescent="0.3">
      <c r="A52" s="3"/>
      <c r="B52" s="3"/>
      <c r="C52" s="3"/>
      <c r="D52" s="3"/>
      <c r="E52" s="3"/>
      <c r="F52" s="3"/>
      <c r="G52" s="3"/>
      <c r="J52" s="3" t="s">
        <v>6</v>
      </c>
      <c r="K52" s="3">
        <v>0.41320000000000001</v>
      </c>
      <c r="L52" s="3">
        <v>0.33860000000000001</v>
      </c>
      <c r="M52" s="3">
        <v>0.1133</v>
      </c>
      <c r="N52" s="3">
        <v>0.17169999999999999</v>
      </c>
      <c r="O52" s="3">
        <v>5.8000000000000003E-2</v>
      </c>
      <c r="P52" s="3">
        <v>0.39679999999999999</v>
      </c>
    </row>
    <row r="53" spans="1:17" x14ac:dyDescent="0.3">
      <c r="A53" t="s">
        <v>16</v>
      </c>
    </row>
    <row r="54" spans="1:17" x14ac:dyDescent="0.3">
      <c r="A54" s="14" t="s">
        <v>31</v>
      </c>
      <c r="B54" s="15"/>
      <c r="C54" s="15"/>
      <c r="D54" s="15"/>
      <c r="E54" s="15"/>
      <c r="F54" s="15"/>
      <c r="G54" s="16"/>
    </row>
    <row r="55" spans="1:17" x14ac:dyDescent="0.3">
      <c r="A55" s="3"/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</row>
    <row r="56" spans="1:17" x14ac:dyDescent="0.3">
      <c r="A56" s="3" t="s">
        <v>1</v>
      </c>
      <c r="B56" s="3">
        <f>(B24+B33+B42)/3</f>
        <v>0.46989999999999998</v>
      </c>
      <c r="C56" s="3">
        <f t="shared" ref="C56:G56" si="7">(C24+C33+C42)/3</f>
        <v>0.35920000000000002</v>
      </c>
      <c r="D56" s="3">
        <f t="shared" si="7"/>
        <v>0.53456666666666675</v>
      </c>
      <c r="E56" s="3">
        <f t="shared" si="7"/>
        <v>0.50373333333333337</v>
      </c>
      <c r="F56" s="3">
        <f t="shared" si="7"/>
        <v>0.62136666666666673</v>
      </c>
      <c r="G56" s="3">
        <f t="shared" si="7"/>
        <v>0.65713333333333335</v>
      </c>
      <c r="J56" s="11" t="s">
        <v>28</v>
      </c>
      <c r="K56" s="11"/>
      <c r="L56" s="11"/>
      <c r="M56" s="11"/>
      <c r="N56" s="11"/>
      <c r="O56" s="11"/>
    </row>
    <row r="57" spans="1:17" x14ac:dyDescent="0.3">
      <c r="A57" s="3" t="s">
        <v>2</v>
      </c>
      <c r="B57" s="3">
        <f t="shared" ref="B57:G57" si="8">(B25+B34+B43)/3</f>
        <v>0.4783</v>
      </c>
      <c r="C57" s="3">
        <f t="shared" si="8"/>
        <v>0.37423333333333336</v>
      </c>
      <c r="D57" s="3">
        <f t="shared" si="8"/>
        <v>0.64823333333333333</v>
      </c>
      <c r="E57" s="3">
        <f t="shared" si="8"/>
        <v>0.5328666666666666</v>
      </c>
      <c r="F57" s="3">
        <f t="shared" si="8"/>
        <v>0.76173333333333337</v>
      </c>
      <c r="G57" s="3">
        <f t="shared" si="8"/>
        <v>0.77296666666666669</v>
      </c>
      <c r="J57" s="3"/>
      <c r="K57" s="3" t="s">
        <v>1</v>
      </c>
      <c r="L57" s="3" t="s">
        <v>2</v>
      </c>
      <c r="M57" s="3" t="s">
        <v>3</v>
      </c>
      <c r="N57" s="3" t="s">
        <v>4</v>
      </c>
      <c r="O57" s="3" t="s">
        <v>5</v>
      </c>
      <c r="P57" s="3" t="s">
        <v>6</v>
      </c>
      <c r="Q57" s="6" t="s">
        <v>27</v>
      </c>
    </row>
    <row r="58" spans="1:17" x14ac:dyDescent="0.3">
      <c r="A58" s="3" t="s">
        <v>5</v>
      </c>
      <c r="B58" s="3">
        <f t="shared" ref="B58:G58" si="9">(B26+B35+B44)/3</f>
        <v>0.23450000000000001</v>
      </c>
      <c r="C58" s="3">
        <f t="shared" si="9"/>
        <v>0.23936666666666664</v>
      </c>
      <c r="D58" s="3">
        <f t="shared" si="9"/>
        <v>0.69403333333333339</v>
      </c>
      <c r="E58" s="3">
        <f t="shared" si="9"/>
        <v>0.58763333333333334</v>
      </c>
      <c r="F58" s="3">
        <f t="shared" si="9"/>
        <v>0.82386666666666664</v>
      </c>
      <c r="G58" s="3">
        <f t="shared" si="9"/>
        <v>0.83476666666666655</v>
      </c>
      <c r="J58" s="3" t="s">
        <v>1</v>
      </c>
      <c r="K58" s="3">
        <v>0.65949999999999998</v>
      </c>
      <c r="L58" s="3">
        <v>0.55810000000000004</v>
      </c>
      <c r="M58" s="3">
        <v>0.73529999999999995</v>
      </c>
      <c r="N58" s="3">
        <v>0.70609999999999995</v>
      </c>
      <c r="O58" s="3">
        <v>0.59809999999999997</v>
      </c>
      <c r="P58" s="3">
        <v>0.79859999999999998</v>
      </c>
    </row>
    <row r="59" spans="1:17" x14ac:dyDescent="0.3">
      <c r="A59" s="3" t="s">
        <v>6</v>
      </c>
      <c r="B59" s="3">
        <f t="shared" ref="B59:G59" si="10">(B27+B36+B45)/3</f>
        <v>0.28143333333333337</v>
      </c>
      <c r="C59" s="3">
        <f t="shared" si="10"/>
        <v>0.25296666666666662</v>
      </c>
      <c r="D59" s="3">
        <f t="shared" si="10"/>
        <v>0.71286666666666665</v>
      </c>
      <c r="E59" s="3">
        <f t="shared" si="10"/>
        <v>0.57496666666666663</v>
      </c>
      <c r="F59" s="3">
        <f t="shared" si="10"/>
        <v>0.83253333333333346</v>
      </c>
      <c r="G59" s="3">
        <f t="shared" si="10"/>
        <v>0.84053333333333324</v>
      </c>
      <c r="J59" s="3" t="s">
        <v>2</v>
      </c>
      <c r="K59" s="3">
        <v>0.72270000000000001</v>
      </c>
      <c r="L59" s="3">
        <v>0.58620000000000005</v>
      </c>
      <c r="M59" s="3">
        <v>0.81220000000000003</v>
      </c>
      <c r="N59" s="3">
        <v>0.74209999999999998</v>
      </c>
      <c r="O59" s="3">
        <v>0.6532</v>
      </c>
      <c r="P59" s="3">
        <v>0.81740000000000002</v>
      </c>
    </row>
    <row r="60" spans="1:17" x14ac:dyDescent="0.3">
      <c r="J60" s="3" t="s">
        <v>5</v>
      </c>
      <c r="K60" s="3">
        <v>0.55030000000000001</v>
      </c>
      <c r="L60" s="3">
        <v>0.43430000000000002</v>
      </c>
      <c r="M60" s="3">
        <v>0.83879999999999999</v>
      </c>
      <c r="N60" s="3">
        <v>0.78839999999999999</v>
      </c>
      <c r="O60" s="3">
        <v>0.70569999999999999</v>
      </c>
      <c r="P60" s="3">
        <v>0.84630000000000005</v>
      </c>
    </row>
    <row r="61" spans="1:17" x14ac:dyDescent="0.3">
      <c r="J61" s="3" t="s">
        <v>6</v>
      </c>
      <c r="K61" s="3">
        <v>0.52290000000000003</v>
      </c>
      <c r="L61" s="3">
        <v>0.45419999999999999</v>
      </c>
      <c r="M61" s="3">
        <v>0.84709999999999996</v>
      </c>
      <c r="N61" s="3">
        <v>0.78359999999999996</v>
      </c>
      <c r="O61" s="3">
        <v>0.72160000000000002</v>
      </c>
      <c r="P61" s="3">
        <v>0.85529999999999995</v>
      </c>
      <c r="Q61" s="6">
        <v>0.96109999999999995</v>
      </c>
    </row>
    <row r="83" spans="1:8" x14ac:dyDescent="0.3">
      <c r="A83" s="14" t="s">
        <v>23</v>
      </c>
      <c r="B83" s="15"/>
      <c r="C83" s="15"/>
      <c r="D83" s="15"/>
      <c r="E83" s="15"/>
      <c r="F83" s="15"/>
      <c r="G83" s="16"/>
    </row>
    <row r="84" spans="1:8" x14ac:dyDescent="0.3">
      <c r="A84" s="3"/>
      <c r="B84" s="3" t="s">
        <v>1</v>
      </c>
      <c r="C84" s="3" t="s">
        <v>2</v>
      </c>
      <c r="D84" s="3" t="s">
        <v>3</v>
      </c>
      <c r="E84" s="3" t="s">
        <v>4</v>
      </c>
      <c r="F84" s="3" t="s">
        <v>5</v>
      </c>
      <c r="G84" s="3" t="s">
        <v>6</v>
      </c>
    </row>
    <row r="85" spans="1:8" x14ac:dyDescent="0.3">
      <c r="A85" s="3" t="s">
        <v>1</v>
      </c>
      <c r="B85" s="3">
        <v>0.33579999999999999</v>
      </c>
      <c r="C85" s="3">
        <v>0.30819999999999997</v>
      </c>
      <c r="D85" s="3" t="s">
        <v>12</v>
      </c>
      <c r="E85" s="3">
        <v>0.4017</v>
      </c>
      <c r="F85" s="3">
        <v>0.3261</v>
      </c>
      <c r="G85" s="3">
        <v>0.54120000000000001</v>
      </c>
    </row>
    <row r="86" spans="1:8" x14ac:dyDescent="0.3">
      <c r="A86" s="3" t="s">
        <v>2</v>
      </c>
      <c r="B86" s="3">
        <v>0.41410000000000002</v>
      </c>
      <c r="C86" s="3">
        <v>0.36940000000000001</v>
      </c>
      <c r="D86" s="3">
        <v>0.36909999999999998</v>
      </c>
      <c r="E86" s="3">
        <v>0.47339999999999999</v>
      </c>
      <c r="F86" s="3">
        <v>0.27629999999999999</v>
      </c>
      <c r="G86" s="3">
        <v>0.67720000000000002</v>
      </c>
    </row>
    <row r="87" spans="1:8" x14ac:dyDescent="0.3">
      <c r="A87" s="3" t="s">
        <v>5</v>
      </c>
      <c r="B87" s="3">
        <v>0.2974</v>
      </c>
      <c r="C87" s="3">
        <v>0.1827</v>
      </c>
      <c r="D87" s="3">
        <v>0.2974</v>
      </c>
      <c r="E87" s="3">
        <v>0.40510000000000002</v>
      </c>
      <c r="F87" s="3">
        <v>0.26879999999999998</v>
      </c>
      <c r="G87" s="3">
        <v>0.54830000000000001</v>
      </c>
    </row>
    <row r="88" spans="1:8" x14ac:dyDescent="0.3">
      <c r="A88" s="3" t="s">
        <v>6</v>
      </c>
      <c r="B88" s="3">
        <v>0.40139999999999998</v>
      </c>
      <c r="C88" s="3">
        <v>0.36549999999999999</v>
      </c>
      <c r="D88" s="3">
        <v>0.30149999999999999</v>
      </c>
      <c r="E88" s="3">
        <v>0.43409999999999999</v>
      </c>
      <c r="F88" s="3">
        <v>0.28310000000000002</v>
      </c>
      <c r="G88" s="3">
        <v>0.76339999999999997</v>
      </c>
      <c r="H88" s="5" t="s">
        <v>20</v>
      </c>
    </row>
    <row r="91" spans="1:8" x14ac:dyDescent="0.3">
      <c r="A91" s="14" t="s">
        <v>24</v>
      </c>
      <c r="B91" s="15"/>
      <c r="C91" s="15"/>
      <c r="D91" s="15"/>
      <c r="E91" s="15"/>
      <c r="F91" s="15"/>
      <c r="G91" s="16"/>
    </row>
    <row r="92" spans="1:8" x14ac:dyDescent="0.3">
      <c r="A92" s="3"/>
      <c r="B92" s="3" t="s">
        <v>1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</row>
    <row r="93" spans="1:8" x14ac:dyDescent="0.3">
      <c r="A93" s="3" t="s">
        <v>1</v>
      </c>
      <c r="B93" s="3">
        <v>0.28260000000000002</v>
      </c>
      <c r="C93" s="3">
        <v>0.34229999999999999</v>
      </c>
      <c r="D93" s="3">
        <v>0.70109999999999995</v>
      </c>
      <c r="E93">
        <v>0.5978</v>
      </c>
      <c r="F93" s="3">
        <v>0.71460000000000001</v>
      </c>
      <c r="G93" s="3">
        <v>0.66310000000000002</v>
      </c>
    </row>
    <row r="94" spans="1:8" x14ac:dyDescent="0.3">
      <c r="A94" s="3" t="s">
        <v>2</v>
      </c>
      <c r="B94" s="3">
        <v>0.5625</v>
      </c>
      <c r="C94" s="3">
        <v>0.33689999999999998</v>
      </c>
      <c r="D94" s="3">
        <v>0.78259999999999996</v>
      </c>
      <c r="E94" s="3">
        <v>0.63039999999999996</v>
      </c>
      <c r="F94" s="3">
        <v>0.75009999999999999</v>
      </c>
      <c r="G94" s="3">
        <v>0.69830000000000003</v>
      </c>
    </row>
    <row r="95" spans="1:8" x14ac:dyDescent="0.3">
      <c r="A95" s="3" t="s">
        <v>5</v>
      </c>
      <c r="B95" s="3">
        <v>0.28810000000000002</v>
      </c>
      <c r="C95" s="3">
        <v>0.20330000000000001</v>
      </c>
      <c r="D95" s="3">
        <v>0.8478</v>
      </c>
      <c r="E95" s="3">
        <v>0.71189999999999998</v>
      </c>
      <c r="F95" s="3">
        <v>0.81520000000000004</v>
      </c>
      <c r="G95" s="3">
        <v>0.77990000000000004</v>
      </c>
    </row>
    <row r="96" spans="1:8" x14ac:dyDescent="0.3">
      <c r="A96" s="3" t="s">
        <v>6</v>
      </c>
      <c r="B96" s="3">
        <v>0.28260000000000002</v>
      </c>
      <c r="C96" s="3">
        <v>0.21729999999999999</v>
      </c>
      <c r="D96" s="3">
        <v>0.83960000000000001</v>
      </c>
      <c r="E96" s="3">
        <v>0.70650000000000002</v>
      </c>
      <c r="F96" s="3">
        <v>0.82879999999999998</v>
      </c>
      <c r="G96" s="3">
        <v>0.76349999999999996</v>
      </c>
    </row>
  </sheetData>
  <mergeCells count="21">
    <mergeCell ref="A8:G9"/>
    <mergeCell ref="A91:G91"/>
    <mergeCell ref="J31:P31"/>
    <mergeCell ref="J40:O40"/>
    <mergeCell ref="J47:O47"/>
    <mergeCell ref="J56:O56"/>
    <mergeCell ref="A22:G22"/>
    <mergeCell ref="A31:G31"/>
    <mergeCell ref="A40:G40"/>
    <mergeCell ref="A83:G83"/>
    <mergeCell ref="A10:B10"/>
    <mergeCell ref="I10:L10"/>
    <mergeCell ref="I17:K17"/>
    <mergeCell ref="I18:K18"/>
    <mergeCell ref="A21:G21"/>
    <mergeCell ref="A54:G54"/>
    <mergeCell ref="S22:Y22"/>
    <mergeCell ref="S31:Y31"/>
    <mergeCell ref="A47:B47"/>
    <mergeCell ref="J22:P22"/>
    <mergeCell ref="S41:Y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Zhang</dc:creator>
  <cp:lastModifiedBy>Pengyu Zhang</cp:lastModifiedBy>
  <dcterms:created xsi:type="dcterms:W3CDTF">2015-06-05T18:19:34Z</dcterms:created>
  <dcterms:modified xsi:type="dcterms:W3CDTF">2025-08-22T08:11:37Z</dcterms:modified>
</cp:coreProperties>
</file>